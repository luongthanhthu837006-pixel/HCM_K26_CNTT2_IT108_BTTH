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NTT2\IT_108\BAITAPTONGHOP\"/>
    </mc:Choice>
  </mc:AlternateContent>
  <xr:revisionPtr revIDLastSave="0" documentId="8_{B0A14C21-5A5C-4184-A067-D56BB68D2E8B}" xr6:coauthVersionLast="47" xr6:coauthVersionMax="47" xr10:uidLastSave="{00000000-0000-0000-0000-000000000000}"/>
  <bookViews>
    <workbookView xWindow="-120" yWindow="-120" windowWidth="20730" windowHeight="11280" activeTab="1" xr2:uid="{00000000-000D-0000-FFFF-FFFF00000000}"/>
  </bookViews>
  <sheets>
    <sheet name="PhieuMuon" sheetId="1" r:id="rId1"/>
    <sheet name="DanhMucSach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<sst xmlns="http://schemas.openxmlformats.org/spreadsheetml/2006/main" count="35" uniqueCount="31">
  <si>
    <t>MSSV</t>
  </si>
  <si>
    <t>Mã Sách</t>
  </si>
  <si>
    <t>Tên Sách</t>
  </si>
  <si>
    <t>SV001</t>
  </si>
  <si>
    <t>Nguyễn Văn An</t>
  </si>
  <si>
    <t>S001</t>
  </si>
  <si>
    <t>Đang mượn</t>
  </si>
  <si>
    <t>SV002</t>
  </si>
  <si>
    <t>Trần Thị Bình</t>
  </si>
  <si>
    <t>S002</t>
  </si>
  <si>
    <t>Quá hạn</t>
  </si>
  <si>
    <t>SV003</t>
  </si>
  <si>
    <t>Lê Văn Cường</t>
  </si>
  <si>
    <t>S003</t>
  </si>
  <si>
    <t>Đã trả</t>
  </si>
  <si>
    <t>SV004</t>
  </si>
  <si>
    <t>Phạm Thu Hà</t>
  </si>
  <si>
    <t>S099</t>
  </si>
  <si>
    <t>Tổng cộng phiếu mượn: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</si>
  <si>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</si>
  <si>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</si>
  <si>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</si>
  <si>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</si>
  <si>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</si>
  <si>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</si>
  <si>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</si>
  <si>
    <t>HỌ VÀ TÊN</t>
  </si>
  <si>
    <t>MÃ SÁCH</t>
  </si>
  <si>
    <t>NGÀY MƯỢN</t>
  </si>
  <si>
    <t>TÌNH TRẠNG</t>
  </si>
  <si>
    <t>TÊN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</si>
</sst>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3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22.5703125" bestFit="1" customWidth="1"/>
    <col min="2" max="2" width="22" customWidth="1"/>
    <col min="3" max="3" width="14" customWidth="1"/>
    <col min="4" max="4" width="16" customWidth="1"/>
    <col min="5" max="5" width="18" customWidth="1"/>
    <col min="6" max="6" width="32" customWidth="1"/>
  </cols>
  <sheetData>
    <row r="1" spans="1:6" ht="15.75" x14ac:dyDescent="0.25">
      <c r="A1" s="2" t="s">
        <v>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</row>
    <row r="2" spans="1:6" ht="15.75" x14ac:dyDescent="0.25">
      <c r="A2" s="3" t="s">
        <v>3</v>
      </c>
      <c r="B2" s="3" t="s">
        <v>4</v>
      </c>
      <c r="C2" s="3" t="s">
        <v>5</v>
      </c>
      <c r="D2" s="4">
        <v>46296</v>
      </c>
      <c r="E2" s="3" t="s">
        <v>6</v>
      </c>
      <c r="F2" s="3" t="str">
        <f>IFERROR(VLOOKUP(C2,DanhMucSach!#REF!,2,FALSE),"Không tìm thấy sách")</f>
        <v>Không tìm thấy sách</v>
      </c>
    </row>
    <row r="3" spans="1:6" ht="15.75" x14ac:dyDescent="0.25">
      <c r="A3" s="3" t="s">
        <v>7</v>
      </c>
      <c r="B3" s="3" t="s">
        <v>8</v>
      </c>
      <c r="C3" s="3" t="s">
        <v>9</v>
      </c>
      <c r="D3" s="4">
        <v>46298</v>
      </c>
      <c r="E3" s="3" t="s">
        <v>10</v>
      </c>
      <c r="F3" s="3" t="str">
        <f>IFERROR(VLOOKUP(C3,DanhMucSach!#REF!,2,FALSE),"Không tìm thấy sách")</f>
        <v>Không tìm thấy sách</v>
      </c>
    </row>
    <row r="4" spans="1:6" ht="15.75" x14ac:dyDescent="0.25">
      <c r="A4" s="3" t="s">
        <v>11</v>
      </c>
      <c r="B4" s="3" t="s">
        <v>12</v>
      </c>
      <c r="C4" s="3" t="s">
        <v>13</v>
      </c>
      <c r="D4" s="4">
        <v>46305</v>
      </c>
      <c r="E4" s="3" t="s">
        <v>14</v>
      </c>
      <c r="F4" s="3" t="str">
        <f>IFERROR(VLOOKUP(C4,DanhMucSach!#REF!,2,FALSE),"Không tìm thấy sách")</f>
        <v>Không tìm thấy sách</v>
      </c>
    </row>
    <row r="5" spans="1:6" ht="15.75" x14ac:dyDescent="0.25">
      <c r="A5" s="3" t="s">
        <v>15</v>
      </c>
      <c r="B5" s="3" t="s">
        <v>16</v>
      </c>
      <c r="C5" s="3" t="s">
        <v>17</v>
      </c>
      <c r="D5" s="4">
        <v>46307</v>
      </c>
      <c r="E5" s="3" t="s">
        <v>6</v>
      </c>
      <c r="F5" s="3" t="str">
        <f>IFERROR(VLOOKUP(C5,DanhMucSach!#REF!,2,FALSE),"Không tìm thấy sách")</f>
        <v>Không tìm thấy sách</v>
      </c>
    </row>
    <row r="6" spans="1:6" x14ac:dyDescent="0.25">
      <c r="A6" s="5" t="s">
        <v>18</v>
      </c>
      <c r="B6" s="5">
        <v>4</v>
      </c>
      <c r="C6" s="1"/>
      <c r="D6" s="1"/>
      <c r="E6" s="1"/>
      <c r="F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.75" x14ac:dyDescent="0.25"/>
  <cols>
    <col min="1" max="1" width="14" style="7" customWidth="1"/>
    <col min="2" max="2" width="30" style="7" customWidth="1"/>
    <col min="3" max="3" width="28" style="7" customWidth="1"/>
    <col min="4" max="16384" width="9.140625" style="7"/>
  </cols>
  <sheetData>
    <row r="1" spans="1:3" x14ac:dyDescent="0.25">
      <c r="A1" s="6" t="s">
        <v>1</v>
      </c>
      <c r="B1" s="6" t="s">
        <v>2</v>
      </c>
      <c r="C1" s="6" t="s">
        <v>19</v>
      </c>
    </row>
    <row r="2" spans="1:3" x14ac:dyDescent="0.25">
      <c r="A2" s="2" t="s">
        <v>5</v>
      </c>
      <c r="B2" s="2" t="s">
        <v>20</v>
      </c>
      <c r="C2" s="2" t="s">
        <v>21</v>
      </c>
    </row>
    <row r="3" spans="1:3" x14ac:dyDescent="0.25">
      <c r="A3" s="2" t="s">
        <v>9</v>
      </c>
      <c r="B3" s="2" t="s">
        <v>22</v>
      </c>
      <c r="C3" s="2" t="s">
        <v>23</v>
      </c>
    </row>
    <row r="4" spans="1:3" x14ac:dyDescent="0.25">
      <c r="A4" s="2" t="s">
        <v>13</v>
      </c>
      <c r="B4" s="2" t="s">
        <v>24</v>
      </c>
      <c r="C4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Luong Thanh Thu D26TXCN03-N</cp:lastModifiedBy>
  <dcterms:created xsi:type="dcterms:W3CDTF">2026-10-21T11:46:05Z</dcterms:created>
  <dcterms:modified xsi:type="dcterms:W3CDTF">2026-10-21T12:09:59Z</dcterms:modified>
</cp:coreProperties>
</file>